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<sst xmlns="http://schemas.openxmlformats.org/spreadsheetml/2006/main" count="113" uniqueCount="48">
  <si>
    <t xml:space="preserve">    </t>
  </si>
  <si>
    <t>Self</t>
  </si>
  <si>
    <t>Peer-1</t>
  </si>
  <si>
    <t>Peer-2</t>
  </si>
  <si>
    <t>Reportee-1</t>
  </si>
  <si>
    <t>Reportee-2</t>
  </si>
  <si>
    <t>Manager-1</t>
  </si>
  <si>
    <t>Questions</t>
  </si>
  <si>
    <t>S1 weightage</t>
  </si>
  <si>
    <t>S1</t>
  </si>
  <si>
    <t>S2 weightage</t>
  </si>
  <si>
    <t>Q1</t>
  </si>
  <si>
    <t>S3 weightage</t>
  </si>
  <si>
    <t>Q2</t>
  </si>
  <si>
    <t>Q3</t>
  </si>
  <si>
    <t>Self weightage</t>
  </si>
  <si>
    <t>SUM</t>
  </si>
  <si>
    <t>Peer Weightage</t>
  </si>
  <si>
    <t>Reportee Weightage</t>
  </si>
  <si>
    <t>Manager</t>
  </si>
  <si>
    <t>S2</t>
  </si>
  <si>
    <t>No of Self</t>
  </si>
  <si>
    <t>No of Peers</t>
  </si>
  <si>
    <t>No of Reportees</t>
  </si>
  <si>
    <t>No of Managers</t>
  </si>
  <si>
    <t>S3</t>
  </si>
  <si>
    <t>Evaluator Weightage</t>
  </si>
  <si>
    <t>Total Evaluators</t>
  </si>
  <si>
    <t>OVERALL SCORE</t>
  </si>
  <si>
    <t>OVERALL</t>
  </si>
  <si>
    <t>Numerator</t>
  </si>
  <si>
    <t>Denominator</t>
  </si>
  <si>
    <t>Section-1</t>
  </si>
  <si>
    <t>SELF</t>
  </si>
  <si>
    <t>PEER</t>
  </si>
  <si>
    <t>REPORTEE</t>
  </si>
  <si>
    <t>MANAGER</t>
  </si>
  <si>
    <t>SECTION-1 ROLE WISE SCORE</t>
  </si>
  <si>
    <t>OVERALL SUMMARY</t>
  </si>
  <si>
    <t>OTHERS (ALL ROLES CLUBBED)</t>
  </si>
  <si>
    <t>OTHERS (COMBINE PEER, REPORTEE TO OTHERS)</t>
  </si>
  <si>
    <t>SECTION OVERALL SUMMARY (NEVER SHOW REPORTEE)</t>
  </si>
  <si>
    <t>Section-2</t>
  </si>
  <si>
    <t>SECTION-2 ROLE WISE SCORE</t>
  </si>
  <si>
    <t>SECTION-3 ROLE WISE SCORE</t>
  </si>
  <si>
    <t xml:space="preserve">SECTION -1 QUESTION WISE SCORE </t>
  </si>
  <si>
    <t>SECTION -2 QUESTION WISE SCORE</t>
  </si>
  <si>
    <t>SECTION -3 QUESTION WISE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</si>
</sst>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9.0"/>
      <color rgb="FF000000"/>
      <name val="&quot;Google Sans Mono&quot;"/>
    </font>
    <font>
      <b/>
      <color theme="1"/>
      <name val="Arial"/>
      <scheme val="minor"/>
    </font>
    <font>
      <b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0" fillId="3" fontId="3" numFmtId="0" xfId="0" applyAlignment="1" applyFill="1" applyFont="1">
      <alignment horizontal="left"/>
    </xf>
    <xf borderId="0" fillId="0" fontId="1" numFmtId="0" xfId="0" applyFont="1"/>
    <xf borderId="1" fillId="4" fontId="2" numFmtId="0" xfId="0" applyAlignment="1" applyBorder="1" applyFill="1" applyFont="1">
      <alignment horizontal="left" readingOrder="0" shrinkToFit="0" wrapText="1"/>
    </xf>
    <xf borderId="0" fillId="4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5" fontId="4" numFmtId="0" xfId="0" applyAlignment="1" applyFill="1" applyFont="1">
      <alignment readingOrder="0"/>
    </xf>
    <xf borderId="0" fillId="5" fontId="1" numFmtId="0" xfId="0" applyAlignment="1" applyFont="1">
      <alignment readingOrder="0"/>
    </xf>
    <xf borderId="0" fillId="5" fontId="4" numFmtId="0" xfId="0" applyFont="1"/>
    <xf borderId="0" fillId="5" fontId="4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5" fontId="1" numFmtId="0" xfId="0" applyAlignment="1" applyFont="1">
      <alignment shrinkToFit="0" wrapText="1"/>
    </xf>
    <xf borderId="0" fillId="5" fontId="1" numFmtId="0" xfId="0" applyFont="1"/>
    <xf borderId="0" fillId="5" fontId="5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75"/>
    <col customWidth="1" min="9" max="9" width="17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>
        <v>1.0</v>
      </c>
    </row>
    <row r="2">
      <c r="A2" s="4" t="s">
        <v>9</v>
      </c>
      <c r="B2" s="5"/>
      <c r="C2" s="5"/>
      <c r="D2" s="5"/>
      <c r="E2" s="5"/>
      <c r="F2" s="5"/>
      <c r="G2" s="5"/>
      <c r="H2" s="6">
        <f>COUNTIF(B3:G5,"&gt;0")</f>
        <v>18</v>
      </c>
      <c r="I2" s="3" t="s">
        <v>10</v>
      </c>
      <c r="J2" s="3">
        <v>1.0</v>
      </c>
      <c r="L2" s="7">
        <f t="shared" ref="L2:L4" si="1">(B3*$J$5)+((Sum(C3:D3))*$J$6)+((Sum(E3:F3))*$J$7)+(G3*$J$8)</f>
        <v>18</v>
      </c>
      <c r="M2" s="7">
        <f t="shared" ref="M2:M4" si="2">(O2*$J$5)+(P2*$J$6)+(Q2*$J$7)+(R2*$J$8)</f>
        <v>6</v>
      </c>
      <c r="N2" s="7">
        <f t="shared" ref="N2:N4" si="3">COUNTIF(B3:G3,"&gt;0")</f>
        <v>6</v>
      </c>
      <c r="O2" s="7">
        <f t="shared" ref="O2:O4" si="4">COUNTIF(B3,"&gt;0")</f>
        <v>1</v>
      </c>
      <c r="P2" s="7">
        <f t="shared" ref="P2:P4" si="5">COUNTIF(C3:D3,"&gt;0")</f>
        <v>2</v>
      </c>
      <c r="Q2" s="7">
        <f t="shared" ref="Q2:Q4" si="6">COUNTIF(E3:F3,"&gt;0")</f>
        <v>2</v>
      </c>
      <c r="R2" s="7">
        <f t="shared" ref="R2:R4" si="7">COUNTIF(G3,"&gt;0")</f>
        <v>1</v>
      </c>
    </row>
    <row r="3">
      <c r="A3" s="2" t="s">
        <v>11</v>
      </c>
      <c r="B3" s="8">
        <v>5.0</v>
      </c>
      <c r="C3" s="8">
        <v>4.0</v>
      </c>
      <c r="D3" s="8">
        <v>1.0</v>
      </c>
      <c r="E3" s="8">
        <v>2.0</v>
      </c>
      <c r="F3" s="8">
        <v>5.0</v>
      </c>
      <c r="G3" s="8">
        <v>1.0</v>
      </c>
      <c r="I3" s="3" t="s">
        <v>12</v>
      </c>
      <c r="J3" s="3">
        <v>1.0</v>
      </c>
      <c r="L3" s="7">
        <f t="shared" si="1"/>
        <v>19</v>
      </c>
      <c r="M3" s="7">
        <f t="shared" si="2"/>
        <v>6</v>
      </c>
      <c r="N3" s="7">
        <f t="shared" si="3"/>
        <v>6</v>
      </c>
      <c r="O3" s="7">
        <f t="shared" si="4"/>
        <v>1</v>
      </c>
      <c r="P3" s="7">
        <f t="shared" si="5"/>
        <v>2</v>
      </c>
      <c r="Q3" s="7">
        <f t="shared" si="6"/>
        <v>2</v>
      </c>
      <c r="R3" s="7">
        <f t="shared" si="7"/>
        <v>1</v>
      </c>
    </row>
    <row r="4">
      <c r="A4" s="2" t="s">
        <v>13</v>
      </c>
      <c r="B4" s="8">
        <v>1.0</v>
      </c>
      <c r="C4" s="8">
        <v>3.0</v>
      </c>
      <c r="D4" s="8">
        <v>3.0</v>
      </c>
      <c r="E4" s="8">
        <v>5.0</v>
      </c>
      <c r="F4" s="8">
        <v>5.0</v>
      </c>
      <c r="G4" s="8">
        <v>2.0</v>
      </c>
      <c r="L4" s="7">
        <f t="shared" si="1"/>
        <v>20</v>
      </c>
      <c r="M4" s="7">
        <f t="shared" si="2"/>
        <v>6</v>
      </c>
      <c r="N4" s="7">
        <f t="shared" si="3"/>
        <v>6</v>
      </c>
      <c r="O4" s="7">
        <f t="shared" si="4"/>
        <v>1</v>
      </c>
      <c r="P4" s="7">
        <f t="shared" si="5"/>
        <v>2</v>
      </c>
      <c r="Q4" s="7">
        <f t="shared" si="6"/>
        <v>2</v>
      </c>
      <c r="R4" s="7">
        <f t="shared" si="7"/>
        <v>1</v>
      </c>
    </row>
    <row r="5">
      <c r="A5" s="2" t="s">
        <v>14</v>
      </c>
      <c r="B5" s="8">
        <v>5.0</v>
      </c>
      <c r="C5" s="8">
        <v>4.0</v>
      </c>
      <c r="D5" s="8">
        <v>4.0</v>
      </c>
      <c r="E5" s="8">
        <v>4.0</v>
      </c>
      <c r="F5" s="8">
        <v>1.0</v>
      </c>
      <c r="G5" s="8">
        <v>2.0</v>
      </c>
      <c r="I5" s="3" t="s">
        <v>15</v>
      </c>
      <c r="J5" s="9">
        <v>1.0</v>
      </c>
      <c r="O5" s="7">
        <f t="shared" ref="O5:R5" si="8">SUM(O2:O4)</f>
        <v>3</v>
      </c>
      <c r="P5" s="7">
        <f t="shared" si="8"/>
        <v>6</v>
      </c>
      <c r="Q5" s="7">
        <f t="shared" si="8"/>
        <v>6</v>
      </c>
      <c r="R5" s="7">
        <f t="shared" si="8"/>
        <v>3</v>
      </c>
    </row>
    <row r="6">
      <c r="A6" s="3" t="s">
        <v>16</v>
      </c>
      <c r="B6" s="10">
        <f>SUM(B3:B5)</f>
        <v>11</v>
      </c>
      <c r="C6" s="10">
        <f>SUM(C3:D5)</f>
        <v>19</v>
      </c>
      <c r="E6" s="10">
        <f>SUM(E3:F5)</f>
        <v>22</v>
      </c>
      <c r="G6" s="10">
        <f>SUM(G2:G5)</f>
        <v>5</v>
      </c>
      <c r="I6" s="3" t="s">
        <v>17</v>
      </c>
      <c r="J6" s="9">
        <v>1.0</v>
      </c>
    </row>
    <row r="7">
      <c r="I7" s="3" t="s">
        <v>18</v>
      </c>
      <c r="J7" s="9">
        <v>1.0</v>
      </c>
    </row>
    <row r="8">
      <c r="B8" s="7">
        <f>COUNTIF(B3:B5,"&gt;0")</f>
        <v>3</v>
      </c>
      <c r="C8" s="7">
        <f>COUNTIF(C3:D5,"&gt;0")</f>
        <v>6</v>
      </c>
      <c r="E8" s="7">
        <f>COUNTIF(E3:F5,"&gt;0")</f>
        <v>6</v>
      </c>
      <c r="G8" s="7">
        <f>COUNTIF(G3:G5,"&gt;0")</f>
        <v>3</v>
      </c>
      <c r="I8" s="3" t="s">
        <v>19</v>
      </c>
      <c r="J8" s="9">
        <v>1.0</v>
      </c>
    </row>
    <row r="9">
      <c r="A9" s="4" t="s">
        <v>20</v>
      </c>
      <c r="B9" s="5"/>
      <c r="C9" s="5"/>
      <c r="D9" s="5"/>
      <c r="E9" s="5"/>
      <c r="F9" s="5"/>
      <c r="G9" s="5"/>
      <c r="H9" s="7">
        <f>COUNTIF(B10:G11,"&gt;0")</f>
        <v>12</v>
      </c>
      <c r="L9" s="7">
        <f t="shared" ref="L9:L10" si="9">(B10*$J$5)+((Sum(C10:D10))*$J$6)+((Sum(E10:F10))*$J$7)+(G10*$J$8)</f>
        <v>15</v>
      </c>
      <c r="M9" s="7">
        <f t="shared" ref="M9:M10" si="10">(O9*$J$5)+(P9*$J$6)+(Q9*$J$7)+(R9*$J$8)</f>
        <v>6</v>
      </c>
      <c r="N9" s="7">
        <f t="shared" ref="N9:N10" si="11">COUNTIF(B10:G10,"&gt;0")</f>
        <v>6</v>
      </c>
      <c r="O9" s="7">
        <f t="shared" ref="O9:O10" si="12">COUNTIF(B10,"&gt;0")</f>
        <v>1</v>
      </c>
      <c r="P9" s="7">
        <f t="shared" ref="P9:P10" si="13">COUNTIF(C10:D10,"&gt;0")</f>
        <v>2</v>
      </c>
      <c r="Q9" s="7">
        <f t="shared" ref="Q9:Q10" si="14">COUNTIF(E10:F10,"&gt;0")</f>
        <v>2</v>
      </c>
      <c r="R9" s="7">
        <f t="shared" ref="R9:R10" si="15">COUNTIF(G10,"&gt;0")</f>
        <v>1</v>
      </c>
    </row>
    <row r="10">
      <c r="A10" s="2" t="s">
        <v>11</v>
      </c>
      <c r="B10" s="8">
        <v>5.0</v>
      </c>
      <c r="C10" s="8">
        <v>5.0</v>
      </c>
      <c r="D10" s="8">
        <v>1.0</v>
      </c>
      <c r="E10" s="8">
        <v>2.0</v>
      </c>
      <c r="F10" s="8">
        <v>1.0</v>
      </c>
      <c r="G10" s="8">
        <v>1.0</v>
      </c>
      <c r="I10" s="3" t="s">
        <v>21</v>
      </c>
      <c r="J10" s="3">
        <v>1.0</v>
      </c>
      <c r="L10" s="7">
        <f t="shared" si="9"/>
        <v>17</v>
      </c>
      <c r="M10" s="7">
        <f t="shared" si="10"/>
        <v>6</v>
      </c>
      <c r="N10" s="7">
        <f t="shared" si="11"/>
        <v>6</v>
      </c>
      <c r="O10" s="7">
        <f t="shared" si="12"/>
        <v>1</v>
      </c>
      <c r="P10" s="7">
        <f t="shared" si="13"/>
        <v>2</v>
      </c>
      <c r="Q10" s="7">
        <f t="shared" si="14"/>
        <v>2</v>
      </c>
      <c r="R10" s="7">
        <f t="shared" si="15"/>
        <v>1</v>
      </c>
    </row>
    <row r="11">
      <c r="A11" s="2" t="s">
        <v>13</v>
      </c>
      <c r="B11" s="8">
        <v>4.0</v>
      </c>
      <c r="C11" s="8">
        <v>5.0</v>
      </c>
      <c r="D11" s="8">
        <v>1.0</v>
      </c>
      <c r="E11" s="8">
        <v>1.0</v>
      </c>
      <c r="F11" s="8">
        <v>4.0</v>
      </c>
      <c r="G11" s="8">
        <v>2.0</v>
      </c>
      <c r="I11" s="3" t="s">
        <v>22</v>
      </c>
      <c r="J11" s="3">
        <v>2.0</v>
      </c>
      <c r="O11" s="7">
        <f t="shared" ref="O11:R11" si="16">SUM(O9:O10)</f>
        <v>2</v>
      </c>
      <c r="P11" s="7">
        <f t="shared" si="16"/>
        <v>4</v>
      </c>
      <c r="Q11" s="7">
        <f t="shared" si="16"/>
        <v>4</v>
      </c>
      <c r="R11" s="7">
        <f t="shared" si="16"/>
        <v>2</v>
      </c>
    </row>
    <row r="12">
      <c r="B12" s="7">
        <f>SUM(B10:B11)</f>
        <v>9</v>
      </c>
      <c r="C12" s="7">
        <f>SUM(C10:D11)</f>
        <v>12</v>
      </c>
      <c r="E12" s="7">
        <f>SUM(E10:F11)</f>
        <v>8</v>
      </c>
      <c r="G12" s="7">
        <f>SUM(G10:G11)</f>
        <v>3</v>
      </c>
      <c r="I12" s="3" t="s">
        <v>23</v>
      </c>
      <c r="J12" s="3">
        <v>2.0</v>
      </c>
    </row>
    <row r="13">
      <c r="I13" s="3" t="s">
        <v>24</v>
      </c>
      <c r="J13" s="3">
        <v>1.0</v>
      </c>
    </row>
    <row r="14">
      <c r="B14" s="7">
        <f>COUNTIF(B10:B11,"&gt;0")</f>
        <v>2</v>
      </c>
      <c r="C14" s="7">
        <f>COUNTIF(C10:D11,"&gt;0")</f>
        <v>4</v>
      </c>
      <c r="E14" s="7">
        <f>COUNTIF(E10:F11,"&gt;0")</f>
        <v>4</v>
      </c>
      <c r="G14" s="7">
        <f>COUNTIF(G10:G11,"&gt;0")</f>
        <v>2</v>
      </c>
    </row>
    <row r="15">
      <c r="A15" s="4" t="s">
        <v>25</v>
      </c>
      <c r="B15" s="5"/>
      <c r="C15" s="5"/>
      <c r="D15" s="5"/>
      <c r="E15" s="5"/>
      <c r="F15" s="5"/>
      <c r="G15" s="5"/>
      <c r="H15" s="7">
        <f>COUNTIF(B16:G16,"&gt;0")</f>
        <v>6</v>
      </c>
      <c r="I15" s="3" t="s">
        <v>26</v>
      </c>
      <c r="J15" s="7">
        <f>(J10*J5)+(J11*J6)+(J12*J7)+(J13*J8)</f>
        <v>6</v>
      </c>
      <c r="L15" s="7">
        <f>(B16*$J$5)+((Sum(C16:D16))*$J$6)+((Sum(E16:F16))*$J$7)+(G16*$J$8)</f>
        <v>23</v>
      </c>
      <c r="M15" s="7">
        <f>(O15*$J$5)+(P15*$J$6)+(Q15*$J$7)+(R15*$J$8)</f>
        <v>6</v>
      </c>
      <c r="N15" s="7">
        <f>COUNTIF(B16:G16,"&gt;0")</f>
        <v>6</v>
      </c>
      <c r="O15" s="7">
        <f>COUNTIF(B16,"&gt;0")</f>
        <v>1</v>
      </c>
      <c r="P15" s="7">
        <f>COUNTIF(C16:D16,"&gt;0")</f>
        <v>2</v>
      </c>
      <c r="Q15" s="7">
        <f>COUNTIF(E16:F16,"&gt;0")</f>
        <v>2</v>
      </c>
      <c r="R15" s="7">
        <f>COUNTIF(G16,"&gt;0")</f>
        <v>1</v>
      </c>
    </row>
    <row r="16">
      <c r="A16" s="2" t="s">
        <v>11</v>
      </c>
      <c r="B16" s="8">
        <v>2.0</v>
      </c>
      <c r="C16" s="8">
        <v>5.0</v>
      </c>
      <c r="D16" s="8">
        <v>4.0</v>
      </c>
      <c r="E16" s="8">
        <v>4.0</v>
      </c>
      <c r="F16" s="8">
        <v>4.0</v>
      </c>
      <c r="G16" s="8">
        <v>4.0</v>
      </c>
    </row>
    <row r="17">
      <c r="B17" s="10">
        <f>SUM(B16)</f>
        <v>2</v>
      </c>
      <c r="C17" s="10">
        <f>SUM(C16:D16)</f>
        <v>9</v>
      </c>
      <c r="E17" s="10">
        <f>SUM(E16:F16)</f>
        <v>8</v>
      </c>
      <c r="G17" s="10">
        <f>SUM(G16:H16)</f>
        <v>4</v>
      </c>
      <c r="I17" s="3" t="s">
        <v>27</v>
      </c>
      <c r="J17" s="7">
        <f>sum(J10:J13)</f>
        <v>6</v>
      </c>
    </row>
    <row r="19">
      <c r="B19" s="7">
        <f>COUNTIF(B16,"&gt;0")</f>
        <v>1</v>
      </c>
      <c r="C19" s="7">
        <f>COUNTIF(C16:D16,"&gt;0")</f>
        <v>2</v>
      </c>
      <c r="E19" s="7">
        <f>COUNTIF(E16:F16,"&gt;0")</f>
        <v>2</v>
      </c>
      <c r="G19" s="7">
        <f>COUNTIF(G16,"&gt;0")</f>
        <v>1</v>
      </c>
    </row>
    <row r="20">
      <c r="C20" s="3" t="s">
        <v>9</v>
      </c>
      <c r="D20" s="3" t="s">
        <v>20</v>
      </c>
      <c r="E20" s="3" t="s">
        <v>25</v>
      </c>
      <c r="G20" s="11" t="s">
        <v>28</v>
      </c>
      <c r="H20" s="12" t="s">
        <v>29</v>
      </c>
      <c r="I20" s="12" t="s">
        <v>9</v>
      </c>
      <c r="J20" s="12" t="s">
        <v>20</v>
      </c>
      <c r="K20" s="12" t="s">
        <v>25</v>
      </c>
    </row>
    <row r="21">
      <c r="A21" s="3" t="s">
        <v>30</v>
      </c>
      <c r="C21" s="7">
        <f>((B6*J5)+(C6*J6)+(E6*J7)+(G6*J8))*J1</f>
        <v>57</v>
      </c>
      <c r="D21" s="7">
        <f>((B12*J5)+(C12*J6)+(E12*J7)+(G12*J8))*J2</f>
        <v>32</v>
      </c>
      <c r="E21" s="7">
        <f>((B17*J5)+(C17*J6)+(E17*J7)+(G17*J8))*J3</f>
        <v>23</v>
      </c>
      <c r="H21" s="13">
        <f>(C21+D21+E21)/(C24+D24+E24)</f>
        <v>3.111111111</v>
      </c>
      <c r="I21" s="13">
        <f t="shared" ref="I21:K21" si="17">(C21/C24)</f>
        <v>3.166666667</v>
      </c>
      <c r="J21" s="13">
        <f t="shared" si="17"/>
        <v>2.666666667</v>
      </c>
      <c r="K21" s="13">
        <f t="shared" si="17"/>
        <v>3.833333333</v>
      </c>
    </row>
    <row r="24">
      <c r="A24" s="3" t="s">
        <v>31</v>
      </c>
      <c r="C24" s="7">
        <f>((B8*J5)+(C8*J6)+(E8*J7)+(G8*J8))*J1</f>
        <v>18</v>
      </c>
      <c r="D24" s="7">
        <f>((B14*J5)+(C14*J6)+(E14*J7)+(G14*J8))*J2</f>
        <v>12</v>
      </c>
      <c r="E24" s="7">
        <f>((B19*J5)+(C19*J6)+(E19*J7)+(G19*J8))*J3</f>
        <v>6</v>
      </c>
    </row>
    <row r="28">
      <c r="A28" s="3" t="s">
        <v>32</v>
      </c>
      <c r="B28" s="3" t="s">
        <v>33</v>
      </c>
      <c r="C28" s="3" t="s">
        <v>34</v>
      </c>
      <c r="D28" s="3" t="s">
        <v>35</v>
      </c>
      <c r="E28" s="3" t="s">
        <v>36</v>
      </c>
      <c r="G28" s="14" t="s">
        <v>37</v>
      </c>
      <c r="H28" s="14" t="s">
        <v>38</v>
      </c>
      <c r="I28" s="14" t="s">
        <v>33</v>
      </c>
      <c r="J28" s="14" t="s">
        <v>34</v>
      </c>
      <c r="K28" s="14" t="s">
        <v>35</v>
      </c>
      <c r="L28" s="14" t="s">
        <v>36</v>
      </c>
      <c r="N28" s="14" t="s">
        <v>39</v>
      </c>
      <c r="O28" s="14" t="s">
        <v>40</v>
      </c>
      <c r="P28" s="14" t="s">
        <v>41</v>
      </c>
    </row>
    <row r="29">
      <c r="G29" s="15"/>
      <c r="H29" s="16"/>
      <c r="I29" s="16"/>
      <c r="J29" s="16"/>
      <c r="K29" s="16"/>
      <c r="L29" s="16"/>
      <c r="N29" s="17"/>
      <c r="O29" s="17"/>
      <c r="P29" s="17"/>
    </row>
    <row r="30">
      <c r="A30" s="3" t="s">
        <v>30</v>
      </c>
      <c r="B30" s="7">
        <f>(SUM(B3:B5))</f>
        <v>11</v>
      </c>
      <c r="C30" s="7">
        <f>SUM(C3:D5)</f>
        <v>19</v>
      </c>
      <c r="D30" s="7">
        <f>SUM(E3:F5)</f>
        <v>22</v>
      </c>
      <c r="E30" s="7">
        <f>SUM(G3:G5)</f>
        <v>5</v>
      </c>
      <c r="G30" s="15"/>
      <c r="H30" s="16">
        <f>I21</f>
        <v>3.166666667</v>
      </c>
      <c r="I30" s="16">
        <f>B30/B33</f>
        <v>3.666666667</v>
      </c>
      <c r="J30" s="16"/>
      <c r="K30" s="16">
        <f t="shared" ref="K30:L30" si="18">D30/D33</f>
        <v>3.666666667</v>
      </c>
      <c r="L30" s="16">
        <f t="shared" si="18"/>
        <v>1.666666667</v>
      </c>
      <c r="N30" s="17">
        <f>(((Sum(C3:D5))*$J$6)+((Sum(E3:F5))*$J$7)+((SUM(G3:G5))*$J$8))/(((C33)*$J$6)+((D33)*$J$7)+((E33)*$J$8))</f>
        <v>3.066666667</v>
      </c>
      <c r="O30" s="17">
        <f>(((Sum(C3:D5))*$J$6)+((Sum(E3:F5))*$J$7))/(((C33)*$J$6)+((D33)*$J$7))</f>
        <v>3.416666667</v>
      </c>
      <c r="P30" s="17">
        <f>(((Sum(B3:B5))*$J$5)+((Sum(C3:D5))*$J$6)+((SUM(G3:G5))*$J$8))/(((B33)*$J$5)+((C33)*$J$6)+((E33)*$J$8))</f>
        <v>2.916666667</v>
      </c>
    </row>
    <row r="31">
      <c r="G31" s="15"/>
      <c r="O31" s="7" t="str">
        <f>(M33)</f>
        <v/>
      </c>
    </row>
    <row r="32">
      <c r="G32" s="15"/>
    </row>
    <row r="33">
      <c r="A33" s="3" t="s">
        <v>31</v>
      </c>
      <c r="B33" s="7">
        <f>COUNTIF(B3:B5,"&gt;0")</f>
        <v>3</v>
      </c>
      <c r="C33" s="7">
        <f>COUNTIF(C3:D5,"&gt;0")</f>
        <v>6</v>
      </c>
      <c r="D33" s="7">
        <f>COUNTIF(E3:F5,"&gt;0")</f>
        <v>6</v>
      </c>
      <c r="E33" s="7">
        <f>COUNTIF(G3:G5,"&gt;0")</f>
        <v>3</v>
      </c>
      <c r="G33" s="15"/>
    </row>
    <row r="34">
      <c r="G34" s="15"/>
    </row>
    <row r="35">
      <c r="G35" s="15"/>
    </row>
    <row r="36">
      <c r="G36" s="15"/>
    </row>
    <row r="37">
      <c r="G37" s="15"/>
    </row>
    <row r="38">
      <c r="A38" s="3" t="s">
        <v>42</v>
      </c>
      <c r="B38" s="3" t="s">
        <v>33</v>
      </c>
      <c r="C38" s="3" t="s">
        <v>34</v>
      </c>
      <c r="D38" s="3" t="s">
        <v>35</v>
      </c>
      <c r="E38" s="3" t="s">
        <v>36</v>
      </c>
      <c r="G38" s="14" t="s">
        <v>43</v>
      </c>
      <c r="H38" s="14" t="s">
        <v>38</v>
      </c>
      <c r="I38" s="11" t="s">
        <v>33</v>
      </c>
      <c r="J38" s="11" t="s">
        <v>34</v>
      </c>
      <c r="K38" s="11" t="s">
        <v>35</v>
      </c>
      <c r="L38" s="11" t="s">
        <v>36</v>
      </c>
      <c r="M38" s="13"/>
      <c r="N38" s="14" t="s">
        <v>39</v>
      </c>
      <c r="O38" s="14" t="s">
        <v>40</v>
      </c>
      <c r="P38" s="18" t="s">
        <v>41</v>
      </c>
    </row>
    <row r="39">
      <c r="G39" s="15"/>
      <c r="H39" s="17"/>
      <c r="I39" s="17"/>
      <c r="J39" s="17"/>
      <c r="K39" s="17"/>
      <c r="L39" s="17"/>
      <c r="M39" s="17"/>
      <c r="N39" s="17"/>
      <c r="O39" s="17"/>
      <c r="P39" s="17"/>
    </row>
    <row r="40">
      <c r="A40" s="3" t="s">
        <v>30</v>
      </c>
      <c r="B40" s="7">
        <f>(SUM(B10:B11))</f>
        <v>9</v>
      </c>
      <c r="C40" s="7">
        <f>SUM(C10:D11)</f>
        <v>12</v>
      </c>
      <c r="D40" s="7">
        <f>SUM(E10:F11)</f>
        <v>8</v>
      </c>
      <c r="E40" s="7">
        <f>SUM(G10:G11)</f>
        <v>3</v>
      </c>
      <c r="G40" s="15"/>
      <c r="H40" s="17">
        <f>J21</f>
        <v>2.666666667</v>
      </c>
      <c r="I40" s="17">
        <f t="shared" ref="I40:L40" si="19">B40/B43</f>
        <v>4.5</v>
      </c>
      <c r="J40" s="17">
        <f t="shared" si="19"/>
        <v>3</v>
      </c>
      <c r="K40" s="17">
        <f t="shared" si="19"/>
        <v>2</v>
      </c>
      <c r="L40" s="17">
        <f t="shared" si="19"/>
        <v>1.5</v>
      </c>
      <c r="M40" s="17"/>
      <c r="N40" s="17">
        <f>(((Sum(C10:D11))*$J$6)+((Sum(E10:F11))*$J$7)+((SUM(G10:G11))*$J$8))/(((C43)*$J$6)+((D43)*$J$7)+((E43)*$J$8))</f>
        <v>2.3</v>
      </c>
      <c r="O40" s="17">
        <f>(((Sum(C10:D11))*$J$6)+((Sum(E10:F11))*$J$7))/(((C43)*$J$6)+((D43)*$J$7))</f>
        <v>2.5</v>
      </c>
      <c r="P40" s="17">
        <f>(((Sum(B10:B11))*$J$5)+((Sum(C10:D11))*$J$6)+((SUM(G10:G11))*$J$8))/(((B43)*$J$5)+((C43)*$J$6)+((E43)*$J$8))</f>
        <v>3</v>
      </c>
    </row>
    <row r="41">
      <c r="G41" s="15"/>
    </row>
    <row r="42">
      <c r="G42" s="15"/>
    </row>
    <row r="43">
      <c r="A43" s="3" t="s">
        <v>31</v>
      </c>
      <c r="B43" s="7">
        <f>COUNTIF(B10:B11,"&gt;0")</f>
        <v>2</v>
      </c>
      <c r="C43" s="7">
        <f>COUNTIF(C10:D11,"&gt;0")</f>
        <v>4</v>
      </c>
      <c r="D43" s="7">
        <f>COUNTIF(E10:F11,"&gt;0")</f>
        <v>4</v>
      </c>
      <c r="E43" s="7">
        <f>COUNTIF(G10:G11,"&gt;0")</f>
        <v>2</v>
      </c>
      <c r="G43" s="15"/>
    </row>
    <row r="44">
      <c r="G44" s="15"/>
    </row>
    <row r="45">
      <c r="G45" s="15"/>
    </row>
    <row r="46">
      <c r="G46" s="15"/>
    </row>
    <row r="47">
      <c r="A47" s="3" t="s">
        <v>42</v>
      </c>
      <c r="B47" s="3" t="s">
        <v>33</v>
      </c>
      <c r="C47" s="3" t="s">
        <v>34</v>
      </c>
      <c r="D47" s="3" t="s">
        <v>35</v>
      </c>
      <c r="E47" s="3" t="s">
        <v>36</v>
      </c>
      <c r="G47" s="14" t="s">
        <v>44</v>
      </c>
      <c r="H47" s="14" t="s">
        <v>38</v>
      </c>
      <c r="I47" s="11" t="s">
        <v>33</v>
      </c>
      <c r="J47" s="11" t="s">
        <v>34</v>
      </c>
      <c r="K47" s="11" t="s">
        <v>35</v>
      </c>
      <c r="L47" s="11" t="s">
        <v>36</v>
      </c>
      <c r="M47" s="13"/>
      <c r="N47" s="14" t="s">
        <v>39</v>
      </c>
      <c r="O47" s="14" t="s">
        <v>40</v>
      </c>
      <c r="P47" s="18" t="s">
        <v>41</v>
      </c>
    </row>
    <row r="49">
      <c r="A49" s="3" t="s">
        <v>30</v>
      </c>
      <c r="B49" s="7">
        <f>(SUM(B16))</f>
        <v>2</v>
      </c>
      <c r="C49" s="7">
        <f>SUM(C16:D16)</f>
        <v>9</v>
      </c>
      <c r="D49" s="7">
        <f>SUM(E16:F16)</f>
        <v>8</v>
      </c>
      <c r="E49" s="7">
        <f>SUM(G16)</f>
        <v>4</v>
      </c>
      <c r="H49" s="7">
        <f>K21</f>
        <v>3.833333333</v>
      </c>
      <c r="I49" s="7">
        <f t="shared" ref="I49:L49" si="20">B49/B52</f>
        <v>2</v>
      </c>
      <c r="J49" s="7">
        <f t="shared" si="20"/>
        <v>4.5</v>
      </c>
      <c r="K49" s="7">
        <f t="shared" si="20"/>
        <v>4</v>
      </c>
      <c r="L49" s="7">
        <f t="shared" si="20"/>
        <v>4</v>
      </c>
      <c r="N49" s="7">
        <f>(((Sum(C16:D16))*$J$6)+((Sum(E16:F16))*$J$7)+((SUM(G16))*$J$8))/(((C52)*$J$6)+((D52)*$J$7)+((E52)*$J$8))</f>
        <v>4.2</v>
      </c>
      <c r="O49" s="7">
        <f>(((Sum(C16:D16))*$J$6)+((Sum(E16:F16))*$J$7))/(((C52)*$J$6)+((D52)*$J$7))</f>
        <v>4.25</v>
      </c>
      <c r="P49" s="7">
        <f>(((Sum(B16))*$J$5)+((Sum(C16:D16))*$J$6)+((SUM(G16))*$J$8))/(((B52)*$J$5)+((C52)*$J$6)+((E52)*$J$8))</f>
        <v>3.75</v>
      </c>
    </row>
    <row r="52">
      <c r="A52" s="3" t="s">
        <v>31</v>
      </c>
      <c r="B52" s="7">
        <f>COUNTIF(B16,"&gt;0")</f>
        <v>1</v>
      </c>
      <c r="C52" s="7">
        <f>COUNTIF(C16:D16,"&gt;0")</f>
        <v>2</v>
      </c>
      <c r="D52" s="7">
        <f>COUNTIF(E16:F16,"&gt;0")</f>
        <v>2</v>
      </c>
      <c r="E52" s="7">
        <f>COUNTIF(G16,"&gt;0")</f>
        <v>1</v>
      </c>
    </row>
    <row r="64">
      <c r="C64" s="3" t="s">
        <v>11</v>
      </c>
      <c r="D64" s="3" t="s">
        <v>13</v>
      </c>
      <c r="E64" s="3" t="s">
        <v>14</v>
      </c>
      <c r="G64" s="14" t="s">
        <v>45</v>
      </c>
      <c r="H64" s="3" t="s">
        <v>9</v>
      </c>
      <c r="I64" s="11" t="s">
        <v>11</v>
      </c>
      <c r="J64" s="11" t="s">
        <v>13</v>
      </c>
      <c r="K64" s="11" t="s">
        <v>14</v>
      </c>
    </row>
    <row r="65">
      <c r="A65" s="3" t="s">
        <v>30</v>
      </c>
      <c r="C65" s="7">
        <f>L2</f>
        <v>18</v>
      </c>
      <c r="D65" s="7">
        <f>L3</f>
        <v>19</v>
      </c>
      <c r="E65" s="7">
        <f>L4</f>
        <v>20</v>
      </c>
      <c r="G65" s="15"/>
      <c r="I65" s="17">
        <f t="shared" ref="I65:K65" si="21">C65/C68</f>
        <v>3</v>
      </c>
      <c r="J65" s="17">
        <f t="shared" si="21"/>
        <v>3.166666667</v>
      </c>
      <c r="K65" s="17">
        <f t="shared" si="21"/>
        <v>3.333333333</v>
      </c>
    </row>
    <row r="66">
      <c r="G66" s="15"/>
    </row>
    <row r="67">
      <c r="G67" s="15"/>
    </row>
    <row r="68">
      <c r="A68" s="3" t="s">
        <v>31</v>
      </c>
      <c r="C68" s="7">
        <f>M2</f>
        <v>6</v>
      </c>
      <c r="D68" s="7">
        <f>M3</f>
        <v>6</v>
      </c>
      <c r="E68" s="7">
        <f>M4</f>
        <v>6</v>
      </c>
      <c r="G68" s="15"/>
    </row>
    <row r="69">
      <c r="G69" s="15"/>
    </row>
    <row r="70">
      <c r="G70" s="15"/>
    </row>
    <row r="71">
      <c r="G71" s="15"/>
    </row>
    <row r="72">
      <c r="C72" s="3" t="s">
        <v>11</v>
      </c>
      <c r="D72" s="3" t="s">
        <v>13</v>
      </c>
      <c r="G72" s="18" t="s">
        <v>46</v>
      </c>
      <c r="H72" s="3" t="s">
        <v>20</v>
      </c>
      <c r="I72" s="11" t="s">
        <v>11</v>
      </c>
      <c r="J72" s="11" t="s">
        <v>13</v>
      </c>
    </row>
    <row r="73">
      <c r="A73" s="3" t="s">
        <v>30</v>
      </c>
      <c r="C73" s="7">
        <f>L9</f>
        <v>15</v>
      </c>
      <c r="D73" s="7">
        <f>L10</f>
        <v>17</v>
      </c>
      <c r="E73" s="7" t="str">
        <f>L13</f>
        <v/>
      </c>
      <c r="G73" s="15"/>
      <c r="I73" s="17">
        <f t="shared" ref="I73:J73" si="22">C73/C76</f>
        <v>2.5</v>
      </c>
      <c r="J73" s="17">
        <f t="shared" si="22"/>
        <v>2.833333333</v>
      </c>
    </row>
    <row r="74">
      <c r="G74" s="15"/>
    </row>
    <row r="75">
      <c r="G75" s="15"/>
    </row>
    <row r="76">
      <c r="A76" s="3" t="s">
        <v>31</v>
      </c>
      <c r="C76" s="7">
        <f>M9</f>
        <v>6</v>
      </c>
      <c r="D76" s="7">
        <f>M10</f>
        <v>6</v>
      </c>
      <c r="E76" s="7" t="str">
        <f>M13</f>
        <v/>
      </c>
      <c r="G76" s="15"/>
    </row>
    <row r="77">
      <c r="G77" s="15"/>
    </row>
    <row r="78">
      <c r="G78" s="15"/>
    </row>
    <row r="79">
      <c r="C79" s="3" t="s">
        <v>11</v>
      </c>
      <c r="G79" s="18" t="s">
        <v>47</v>
      </c>
      <c r="H79" s="3" t="s">
        <v>25</v>
      </c>
      <c r="I79" s="11" t="s">
        <v>11</v>
      </c>
    </row>
    <row r="80">
      <c r="A80" s="3" t="s">
        <v>30</v>
      </c>
      <c r="C80" s="7">
        <f>L15</f>
        <v>23</v>
      </c>
      <c r="D80" s="7" t="str">
        <f>L17</f>
        <v/>
      </c>
      <c r="I80" s="17">
        <f>C80/C83</f>
        <v>3.833333333</v>
      </c>
    </row>
    <row r="83">
      <c r="A83" s="3" t="s">
        <v>31</v>
      </c>
      <c r="C83" s="7">
        <f>M15</f>
        <v>6</v>
      </c>
      <c r="D83" s="7" t="str">
        <f>M17</f>
        <v/>
      </c>
    </row>
  </sheetData>
  <mergeCells count="4">
    <mergeCell ref="C6:D6"/>
    <mergeCell ref="E6:F6"/>
    <mergeCell ref="C17:D17"/>
    <mergeCell ref="E17:F17"/>
  </mergeCells>
  <drawing r:id="rId1"/>
</worksheet>
</file>